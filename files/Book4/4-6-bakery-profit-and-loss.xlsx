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fit and loss" sheetId="1" state="visible" r:id="rId3"/>
    <sheet name="Questions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<sst xmlns="http://schemas.openxmlformats.org/spreadsheetml/2006/main" count="66" uniqueCount="66">
  <si>
    <t xml:space="preserve">Funmi's Kitchen</t>
  </si>
  <si>
    <t xml:space="preserve">Profit and loss statement: October 2026, with September 2026 for comparison</t>
  </si>
  <si>
    <t xml:space="preserve">All amounts in US dollars. Figures are fictional.</t>
  </si>
  <si>
    <t xml:space="preserve">October 2026</t>
  </si>
  <si>
    <t xml:space="preserve">September 2026</t>
  </si>
  <si>
    <t xml:space="preserve">Change</t>
  </si>
  <si>
    <t xml:space="preserve">Notes</t>
  </si>
  <si>
    <t xml:space="preserve">REVENUE</t>
  </si>
  <si>
    <t xml:space="preserve">Bread and pastry sales</t>
  </si>
  <si>
    <t xml:space="preserve">Cake orders</t>
  </si>
  <si>
    <t xml:space="preserve">Halloween cakes in late October</t>
  </si>
  <si>
    <t xml:space="preserve">Catering</t>
  </si>
  <si>
    <t xml:space="preserve">Matches the catering orders spreadsheet</t>
  </si>
  <si>
    <t xml:space="preserve">Coffee and drinks</t>
  </si>
  <si>
    <t xml:space="preserve">Total revenue</t>
  </si>
  <si>
    <t xml:space="preserve">COST OF GOODS SOLD</t>
  </si>
  <si>
    <t xml:space="preserve">Ingredients</t>
  </si>
  <si>
    <t xml:space="preserve">Butter and flour prices up</t>
  </si>
  <si>
    <t xml:space="preserve">Packaging</t>
  </si>
  <si>
    <t xml:space="preserve">Total cost of goods sold</t>
  </si>
  <si>
    <t xml:space="preserve">GROSS PROFIT</t>
  </si>
  <si>
    <t xml:space="preserve">Gross margin (gross profit / revenue)</t>
  </si>
  <si>
    <t xml:space="preserve">OPERATING EXPENSES</t>
  </si>
  <si>
    <t xml:space="preserve">Wages (2 part-time staff and Funmi)</t>
  </si>
  <si>
    <t xml:space="preserve">Rent</t>
  </si>
  <si>
    <t xml:space="preserve">Utilities</t>
  </si>
  <si>
    <t xml:space="preserve">Ovens on longer, and heating started</t>
  </si>
  <si>
    <t xml:space="preserve">Equipment and repairs</t>
  </si>
  <si>
    <t xml:space="preserve">Deck oven repair, October 14</t>
  </si>
  <si>
    <t xml:space="preserve">Marketing</t>
  </si>
  <si>
    <t xml:space="preserve">Insurance</t>
  </si>
  <si>
    <t xml:space="preserve">Card processing fees</t>
  </si>
  <si>
    <t xml:space="preserve">Van and fuel</t>
  </si>
  <si>
    <t xml:space="preserve">Other</t>
  </si>
  <si>
    <t xml:space="preserve">Total operating expenses</t>
  </si>
  <si>
    <t xml:space="preserve">NET PROFIT</t>
  </si>
  <si>
    <t xml:space="preserve">Net margin (net profit / revenue)</t>
  </si>
  <si>
    <t xml:space="preserve">Three questions about the October 2026 statement</t>
  </si>
  <si>
    <t xml:space="preserve">Answer them on your own, using only the Profit and loss sheet. Type your answers in the yellow cells. Then compare them with the Answer key sheet.</t>
  </si>
  <si>
    <t xml:space="preserve">What was the gross profit in October, and what was the gross margin as a percentage of revenue?</t>
  </si>
  <si>
    <t xml:space="preserve">Which single operating expense was the largest in October, and roughly what share of total revenue was it?</t>
  </si>
  <si>
    <t xml:space="preserve">Total revenue rose by about US$5,000 from September to October. Why did net profit rise by much less? Name the two biggest reasons.</t>
  </si>
  <si>
    <t xml:space="preserve">Answer key</t>
  </si>
  <si>
    <t xml:space="preserve">Values are calculated from the Profit and loss sheet.</t>
  </si>
  <si>
    <t xml:space="preserve">Q</t>
  </si>
  <si>
    <t xml:space="preserve">Item</t>
  </si>
  <si>
    <t xml:space="preserve">Value</t>
  </si>
  <si>
    <t xml:space="preserve">Explanation</t>
  </si>
  <si>
    <t xml:space="preserve">Gross profit, October</t>
  </si>
  <si>
    <t xml:space="preserve">Total revenue minus cost of goods sold (ingredients and packaging).</t>
  </si>
  <si>
    <t xml:space="preserve">Gross margin, October</t>
  </si>
  <si>
    <t xml:space="preserve">Gross profit divided by total revenue. About 68 cents of every dollar is left after ingredients and packaging.</t>
  </si>
  <si>
    <t xml:space="preserve">Largest operating expense: wages</t>
  </si>
  <si>
    <t xml:space="preserve">Wages are the largest single operating expense.</t>
  </si>
  <si>
    <t xml:space="preserve">Wages as a share of revenue</t>
  </si>
  <si>
    <t xml:space="preserve">Roughly 30 cents of every dollar of revenue goes on wages.</t>
  </si>
  <si>
    <t xml:space="preserve">Change in total revenue</t>
  </si>
  <si>
    <t xml:space="preserve">Revenue rose, mostly from catering and cakes.</t>
  </si>
  <si>
    <t xml:space="preserve">Change in net profit</t>
  </si>
  <si>
    <t xml:space="preserve">Net profit rose by much less than revenue.</t>
  </si>
  <si>
    <t xml:space="preserve">Reason 1: equipment and repairs went up by</t>
  </si>
  <si>
    <t xml:space="preserve">The deck oven repair on October 14 was a one-off cost.</t>
  </si>
  <si>
    <t xml:space="preserve">Reason 2: cost of goods sold went up by</t>
  </si>
  <si>
    <t xml:space="preserve">More sales need more ingredients, and butter and flour prices rose.</t>
  </si>
  <si>
    <t xml:space="preserve">Other increases in operating expenses</t>
  </si>
  <si>
    <t xml:space="preserve">Wages, utilities, card fees, fuel, and other costs rose a little too.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</si>
</sst>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"/>
    <numFmt numFmtId="167" formatCode="\+0.0%;\-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5E20"/>
      <name val="Arial"/>
      <family val="0"/>
      <charset val="1"/>
    </font>
    <font>
      <sz val="11"/>
      <color rgb="FF5F6B73"/>
      <name val="Arial"/>
      <family val="0"/>
      <charset val="1"/>
    </font>
    <font>
      <i val="true"/>
      <sz val="9"/>
      <color rgb="FF5F6B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sz val="10"/>
      <color rgb="FF26313A"/>
      <name val="Arial"/>
      <family val="0"/>
      <charset val="1"/>
    </font>
    <font>
      <b val="true"/>
      <sz val="10"/>
      <color rgb="FF26313A"/>
      <name val="Arial"/>
      <family val="0"/>
      <charset val="1"/>
    </font>
    <font>
      <i val="true"/>
      <sz val="10"/>
      <color rgb="FF26313A"/>
      <name val="Arial"/>
      <family val="0"/>
      <charset val="1"/>
    </font>
    <font>
      <b val="true"/>
      <sz val="14"/>
      <color rgb="FF1B5E20"/>
      <name val="Arial"/>
      <family val="0"/>
      <charset val="1"/>
    </font>
    <font>
      <sz val="10"/>
      <color rgb="FF5F6B73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5F6B7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5E20"/>
        <bgColor rgb="FF26313A"/>
      </patternFill>
    </fill>
    <fill>
      <patternFill patternType="solid">
        <fgColor rgb="FFE8F1E6"/>
        <bgColor rgb="FFFFFDF2"/>
      </patternFill>
    </fill>
    <fill>
      <patternFill patternType="solid">
        <fgColor rgb="FFFFFD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C9D3D6"/>
      </top>
      <bottom/>
      <diagonal/>
    </border>
    <border diagonalUp="false" diagonalDown="false"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F2"/>
      <rgbColor rgb="FFE8F1E6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B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31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  <col collapsed="false" customWidth="true" hidden="false" outlineLevel="0" max="5" min="5" style="0" width="4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/>
      <c r="B5" s="5" t="s">
        <v>3</v>
      </c>
      <c r="C5" s="5" t="s">
        <v>4</v>
      </c>
      <c r="D5" s="5" t="s">
        <v>5</v>
      </c>
      <c r="E5" s="4" t="s">
        <v>6</v>
      </c>
    </row>
    <row r="6" customFormat="false" ht="15" hidden="false" customHeight="false" outlineLevel="0" collapsed="false">
      <c r="A6" s="6" t="s">
        <v>7</v>
      </c>
    </row>
    <row r="7" customFormat="false" ht="15" hidden="false" customHeight="false" outlineLevel="0" collapsed="false">
      <c r="A7" s="7" t="s">
        <v>8</v>
      </c>
      <c r="B7" s="8" t="n">
        <v>21400</v>
      </c>
      <c r="C7" s="8" t="n">
        <v>19800</v>
      </c>
      <c r="D7" s="8" t="n">
        <f aca="false">B7-C7</f>
        <v>1600</v>
      </c>
      <c r="E7" s="3"/>
    </row>
    <row r="8" customFormat="false" ht="15" hidden="false" customHeight="false" outlineLevel="0" collapsed="false">
      <c r="A8" s="7" t="s">
        <v>9</v>
      </c>
      <c r="B8" s="8" t="n">
        <v>6200</v>
      </c>
      <c r="C8" s="8" t="n">
        <v>5100</v>
      </c>
      <c r="D8" s="8" t="n">
        <f aca="false">B8-C8</f>
        <v>1100</v>
      </c>
      <c r="E8" s="3" t="s">
        <v>10</v>
      </c>
    </row>
    <row r="9" customFormat="false" ht="15" hidden="false" customHeight="false" outlineLevel="0" collapsed="false">
      <c r="A9" s="7" t="s">
        <v>11</v>
      </c>
      <c r="B9" s="8" t="n">
        <v>7722</v>
      </c>
      <c r="C9" s="8" t="n">
        <v>5523</v>
      </c>
      <c r="D9" s="8" t="n">
        <f aca="false">B9-C9</f>
        <v>2199</v>
      </c>
      <c r="E9" s="3" t="s">
        <v>12</v>
      </c>
    </row>
    <row r="10" customFormat="false" ht="15" hidden="false" customHeight="false" outlineLevel="0" collapsed="false">
      <c r="A10" s="7" t="s">
        <v>13</v>
      </c>
      <c r="B10" s="8" t="n">
        <v>2900</v>
      </c>
      <c r="C10" s="8" t="n">
        <v>2750</v>
      </c>
      <c r="D10" s="8" t="n">
        <f aca="false">B10-C10</f>
        <v>150</v>
      </c>
      <c r="E10" s="3"/>
    </row>
    <row r="11" customFormat="false" ht="15" hidden="false" customHeight="false" outlineLevel="0" collapsed="false">
      <c r="A11" s="9" t="s">
        <v>14</v>
      </c>
      <c r="B11" s="10" t="n">
        <f aca="false">SUM(B7:B10)</f>
        <v>38222</v>
      </c>
      <c r="C11" s="10" t="n">
        <f aca="false">SUM(C7:C10)</f>
        <v>33173</v>
      </c>
      <c r="D11" s="11" t="n">
        <f aca="false">B11-C11</f>
        <v>5049</v>
      </c>
    </row>
    <row r="13" customFormat="false" ht="15" hidden="false" customHeight="false" outlineLevel="0" collapsed="false">
      <c r="A13" s="6" t="s">
        <v>15</v>
      </c>
    </row>
    <row r="14" customFormat="false" ht="15" hidden="false" customHeight="false" outlineLevel="0" collapsed="false">
      <c r="A14" s="7" t="s">
        <v>16</v>
      </c>
      <c r="B14" s="8" t="n">
        <v>10950</v>
      </c>
      <c r="C14" s="8" t="n">
        <v>9880</v>
      </c>
      <c r="D14" s="8" t="n">
        <f aca="false">B14-C14</f>
        <v>1070</v>
      </c>
      <c r="E14" s="3" t="s">
        <v>17</v>
      </c>
    </row>
    <row r="15" customFormat="false" ht="15" hidden="false" customHeight="false" outlineLevel="0" collapsed="false">
      <c r="A15" s="7" t="s">
        <v>18</v>
      </c>
      <c r="B15" s="8" t="n">
        <v>1120</v>
      </c>
      <c r="C15" s="8" t="n">
        <v>1010</v>
      </c>
      <c r="D15" s="8" t="n">
        <f aca="false">B15-C15</f>
        <v>110</v>
      </c>
      <c r="E15" s="3"/>
    </row>
    <row r="16" customFormat="false" ht="15" hidden="false" customHeight="false" outlineLevel="0" collapsed="false">
      <c r="A16" s="9" t="s">
        <v>19</v>
      </c>
      <c r="B16" s="10" t="n">
        <f aca="false">SUM(B14:B15)</f>
        <v>12070</v>
      </c>
      <c r="C16" s="10" t="n">
        <f aca="false">SUM(C14:C15)</f>
        <v>10890</v>
      </c>
      <c r="D16" s="11" t="n">
        <f aca="false">B16-C16</f>
        <v>1180</v>
      </c>
    </row>
    <row r="18" customFormat="false" ht="15" hidden="false" customHeight="false" outlineLevel="0" collapsed="false">
      <c r="A18" s="12" t="s">
        <v>20</v>
      </c>
      <c r="B18" s="13" t="n">
        <f aca="false">B11-B16</f>
        <v>26152</v>
      </c>
      <c r="C18" s="13" t="n">
        <f aca="false">C11-C16</f>
        <v>22283</v>
      </c>
      <c r="D18" s="13" t="n">
        <f aca="false">B18-C18</f>
        <v>3869</v>
      </c>
      <c r="E18" s="14"/>
    </row>
    <row r="19" customFormat="false" ht="15" hidden="false" customHeight="false" outlineLevel="0" collapsed="false">
      <c r="A19" s="15" t="s">
        <v>21</v>
      </c>
      <c r="B19" s="16" t="n">
        <f aca="false">B18/B11</f>
        <v>0.684213280309769</v>
      </c>
      <c r="C19" s="16" t="n">
        <f aca="false">C18/C11</f>
        <v>0.671720977903717</v>
      </c>
      <c r="D19" s="17" t="n">
        <f aca="false">B19-C19</f>
        <v>0.0124923024060524</v>
      </c>
    </row>
    <row r="21" customFormat="false" ht="15" hidden="false" customHeight="false" outlineLevel="0" collapsed="false">
      <c r="A21" s="6" t="s">
        <v>22</v>
      </c>
    </row>
    <row r="22" customFormat="false" ht="15" hidden="false" customHeight="false" outlineLevel="0" collapsed="false">
      <c r="A22" s="7" t="s">
        <v>23</v>
      </c>
      <c r="B22" s="8" t="n">
        <v>11600</v>
      </c>
      <c r="C22" s="8" t="n">
        <v>11200</v>
      </c>
      <c r="D22" s="8" t="n">
        <f aca="false">B22-C22</f>
        <v>400</v>
      </c>
      <c r="E22" s="3"/>
    </row>
    <row r="23" customFormat="false" ht="15" hidden="false" customHeight="false" outlineLevel="0" collapsed="false">
      <c r="A23" s="7" t="s">
        <v>24</v>
      </c>
      <c r="B23" s="8" t="n">
        <v>3200</v>
      </c>
      <c r="C23" s="8" t="n">
        <v>3200</v>
      </c>
      <c r="D23" s="8" t="n">
        <f aca="false">B23-C23</f>
        <v>0</v>
      </c>
      <c r="E23" s="3"/>
    </row>
    <row r="24" customFormat="false" ht="15" hidden="false" customHeight="false" outlineLevel="0" collapsed="false">
      <c r="A24" s="7" t="s">
        <v>25</v>
      </c>
      <c r="B24" s="8" t="n">
        <v>1450</v>
      </c>
      <c r="C24" s="8" t="n">
        <v>1180</v>
      </c>
      <c r="D24" s="8" t="n">
        <f aca="false">B24-C24</f>
        <v>270</v>
      </c>
      <c r="E24" s="3" t="s">
        <v>26</v>
      </c>
    </row>
    <row r="25" customFormat="false" ht="15" hidden="false" customHeight="false" outlineLevel="0" collapsed="false">
      <c r="A25" s="7" t="s">
        <v>27</v>
      </c>
      <c r="B25" s="8" t="n">
        <v>2350</v>
      </c>
      <c r="C25" s="8" t="n">
        <v>150</v>
      </c>
      <c r="D25" s="8" t="n">
        <f aca="false">B25-C25</f>
        <v>2200</v>
      </c>
      <c r="E25" s="3" t="s">
        <v>28</v>
      </c>
    </row>
    <row r="26" customFormat="false" ht="15" hidden="false" customHeight="false" outlineLevel="0" collapsed="false">
      <c r="A26" s="7" t="s">
        <v>29</v>
      </c>
      <c r="B26" s="8" t="n">
        <v>300</v>
      </c>
      <c r="C26" s="8" t="n">
        <v>300</v>
      </c>
      <c r="D26" s="8" t="n">
        <f aca="false">B26-C26</f>
        <v>0</v>
      </c>
      <c r="E26" s="3"/>
    </row>
    <row r="27" customFormat="false" ht="15" hidden="false" customHeight="false" outlineLevel="0" collapsed="false">
      <c r="A27" s="7" t="s">
        <v>30</v>
      </c>
      <c r="B27" s="8" t="n">
        <v>420</v>
      </c>
      <c r="C27" s="8" t="n">
        <v>420</v>
      </c>
      <c r="D27" s="8" t="n">
        <f aca="false">B27-C27</f>
        <v>0</v>
      </c>
      <c r="E27" s="3"/>
    </row>
    <row r="28" customFormat="false" ht="15" hidden="false" customHeight="false" outlineLevel="0" collapsed="false">
      <c r="A28" s="7" t="s">
        <v>31</v>
      </c>
      <c r="B28" s="8" t="n">
        <v>690</v>
      </c>
      <c r="C28" s="8" t="n">
        <v>640</v>
      </c>
      <c r="D28" s="8" t="n">
        <f aca="false">B28-C28</f>
        <v>50</v>
      </c>
      <c r="E28" s="3"/>
    </row>
    <row r="29" customFormat="false" ht="15" hidden="false" customHeight="false" outlineLevel="0" collapsed="false">
      <c r="A29" s="7" t="s">
        <v>32</v>
      </c>
      <c r="B29" s="8" t="n">
        <v>510</v>
      </c>
      <c r="C29" s="8" t="n">
        <v>430</v>
      </c>
      <c r="D29" s="8" t="n">
        <f aca="false">B29-C29</f>
        <v>80</v>
      </c>
      <c r="E29" s="3"/>
    </row>
    <row r="30" customFormat="false" ht="15" hidden="false" customHeight="false" outlineLevel="0" collapsed="false">
      <c r="A30" s="7" t="s">
        <v>33</v>
      </c>
      <c r="B30" s="8" t="n">
        <v>260</v>
      </c>
      <c r="C30" s="8" t="n">
        <v>240</v>
      </c>
      <c r="D30" s="8" t="n">
        <f aca="false">B30-C30</f>
        <v>20</v>
      </c>
      <c r="E30" s="3"/>
    </row>
    <row r="31" customFormat="false" ht="15" hidden="false" customHeight="false" outlineLevel="0" collapsed="false">
      <c r="A31" s="9" t="s">
        <v>34</v>
      </c>
      <c r="B31" s="10" t="n">
        <f aca="false">SUM(B22:B30)</f>
        <v>20780</v>
      </c>
      <c r="C31" s="10" t="n">
        <f aca="false">SUM(C22:C30)</f>
        <v>17760</v>
      </c>
      <c r="D31" s="11" t="n">
        <f aca="false">B31-C31</f>
        <v>3020</v>
      </c>
    </row>
    <row r="33" customFormat="false" ht="15" hidden="false" customHeight="false" outlineLevel="0" collapsed="false">
      <c r="A33" s="12" t="s">
        <v>35</v>
      </c>
      <c r="B33" s="13" t="n">
        <f aca="false">B18-B31</f>
        <v>5372</v>
      </c>
      <c r="C33" s="13" t="n">
        <f aca="false">C18-C31</f>
        <v>4523</v>
      </c>
      <c r="D33" s="13" t="n">
        <f aca="false">B33-C33</f>
        <v>849</v>
      </c>
      <c r="E33" s="14"/>
    </row>
    <row r="34" customFormat="false" ht="15" hidden="false" customHeight="false" outlineLevel="0" collapsed="false">
      <c r="A34" s="15" t="s">
        <v>36</v>
      </c>
      <c r="B34" s="16" t="n">
        <f aca="false">B33/B11</f>
        <v>0.140547328763539</v>
      </c>
      <c r="C34" s="16" t="n">
        <f aca="false">C33/C11</f>
        <v>0.136345823410605</v>
      </c>
      <c r="D34" s="17" t="n">
        <f aca="false">B34-C34</f>
        <v>0.00420150535293432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8" t="s">
        <v>37</v>
      </c>
    </row>
    <row r="2" customFormat="false" ht="30" hidden="false" customHeight="true" outlineLevel="0" collapsed="false">
      <c r="A2" s="19" t="s">
        <v>38</v>
      </c>
      <c r="B2" s="19"/>
    </row>
    <row r="4" customFormat="false" ht="26.85" hidden="false" customHeight="false" outlineLevel="0" collapsed="false">
      <c r="A4" s="20" t="n">
        <v>1</v>
      </c>
      <c r="B4" s="21" t="s">
        <v>39</v>
      </c>
    </row>
    <row r="5" customFormat="false" ht="60" hidden="false" customHeight="true" outlineLevel="0" collapsed="false">
      <c r="B5" s="22"/>
    </row>
    <row r="7" customFormat="false" ht="26.85" hidden="false" customHeight="false" outlineLevel="0" collapsed="false">
      <c r="A7" s="20" t="n">
        <v>2</v>
      </c>
      <c r="B7" s="21" t="s">
        <v>40</v>
      </c>
    </row>
    <row r="8" customFormat="false" ht="60" hidden="false" customHeight="true" outlineLevel="0" collapsed="false">
      <c r="B8" s="22"/>
    </row>
    <row r="10" customFormat="false" ht="26.85" hidden="false" customHeight="false" outlineLevel="0" collapsed="false">
      <c r="A10" s="20" t="n">
        <v>3</v>
      </c>
      <c r="B10" s="21" t="s">
        <v>41</v>
      </c>
    </row>
    <row r="11" customFormat="false" ht="60" hidden="false" customHeight="true" outlineLevel="0" collapsed="false">
      <c r="B11" s="22"/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8" t="s">
        <v>42</v>
      </c>
    </row>
    <row r="2" customFormat="false" ht="15" hidden="false" customHeight="false" outlineLevel="0" collapsed="false">
      <c r="A2" s="23" t="s">
        <v>43</v>
      </c>
    </row>
    <row r="4" customFormat="false" ht="15" hidden="false" customHeight="false" outlineLevel="0" collapsed="false">
      <c r="A4" s="24" t="s">
        <v>44</v>
      </c>
      <c r="B4" s="24" t="s">
        <v>45</v>
      </c>
      <c r="C4" s="24" t="s">
        <v>46</v>
      </c>
      <c r="D4" s="24" t="s">
        <v>47</v>
      </c>
    </row>
    <row r="5" customFormat="false" ht="15" hidden="false" customHeight="false" outlineLevel="0" collapsed="false">
      <c r="A5" s="25" t="n">
        <v>1</v>
      </c>
      <c r="B5" s="26" t="s">
        <v>48</v>
      </c>
      <c r="C5" s="27" t="n">
        <f aca="false">'Profit and loss'!B18</f>
        <v>26152</v>
      </c>
      <c r="D5" s="26" t="s">
        <v>49</v>
      </c>
    </row>
    <row r="6" customFormat="false" ht="23.85" hidden="false" customHeight="false" outlineLevel="0" collapsed="false">
      <c r="A6" s="25"/>
      <c r="B6" s="26" t="s">
        <v>50</v>
      </c>
      <c r="C6" s="28" t="n">
        <f aca="false">'Profit and loss'!B19</f>
        <v>0.684213280309769</v>
      </c>
      <c r="D6" s="26" t="s">
        <v>51</v>
      </c>
    </row>
    <row r="7" customFormat="false" ht="15" hidden="false" customHeight="false" outlineLevel="0" collapsed="false">
      <c r="A7" s="25" t="n">
        <v>2</v>
      </c>
      <c r="B7" s="26" t="s">
        <v>52</v>
      </c>
      <c r="C7" s="27" t="n">
        <f aca="false">'Profit and loss'!B22</f>
        <v>11600</v>
      </c>
      <c r="D7" s="26" t="s">
        <v>53</v>
      </c>
    </row>
    <row r="8" customFormat="false" ht="15" hidden="false" customHeight="false" outlineLevel="0" collapsed="false">
      <c r="A8" s="25"/>
      <c r="B8" s="26" t="s">
        <v>54</v>
      </c>
      <c r="C8" s="28" t="n">
        <f aca="false">'Profit and loss'!B22/'Profit and loss'!B11</f>
        <v>0.303490136570561</v>
      </c>
      <c r="D8" s="26" t="s">
        <v>55</v>
      </c>
    </row>
    <row r="9" customFormat="false" ht="15" hidden="false" customHeight="false" outlineLevel="0" collapsed="false">
      <c r="A9" s="25" t="n">
        <v>3</v>
      </c>
      <c r="B9" s="26" t="s">
        <v>56</v>
      </c>
      <c r="C9" s="27" t="n">
        <f aca="false">'Profit and loss'!D11</f>
        <v>5049</v>
      </c>
      <c r="D9" s="26" t="s">
        <v>57</v>
      </c>
    </row>
    <row r="10" customFormat="false" ht="15" hidden="false" customHeight="false" outlineLevel="0" collapsed="false">
      <c r="A10" s="25"/>
      <c r="B10" s="26" t="s">
        <v>58</v>
      </c>
      <c r="C10" s="27" t="n">
        <f aca="false">'Profit and loss'!D33</f>
        <v>849</v>
      </c>
      <c r="D10" s="26" t="s">
        <v>59</v>
      </c>
    </row>
    <row r="11" customFormat="false" ht="15" hidden="false" customHeight="false" outlineLevel="0" collapsed="false">
      <c r="A11" s="25"/>
      <c r="B11" s="26" t="s">
        <v>60</v>
      </c>
      <c r="C11" s="27" t="n">
        <f aca="false">'Profit and loss'!D25</f>
        <v>2200</v>
      </c>
      <c r="D11" s="26" t="s">
        <v>61</v>
      </c>
    </row>
    <row r="12" customFormat="false" ht="15" hidden="false" customHeight="false" outlineLevel="0" collapsed="false">
      <c r="A12" s="25"/>
      <c r="B12" s="26" t="s">
        <v>62</v>
      </c>
      <c r="C12" s="27" t="n">
        <f aca="false">'Profit and loss'!D16</f>
        <v>1180</v>
      </c>
      <c r="D12" s="26" t="s">
        <v>63</v>
      </c>
    </row>
    <row r="13" customFormat="false" ht="15" hidden="false" customHeight="false" outlineLevel="0" collapsed="false">
      <c r="A13" s="25"/>
      <c r="B13" s="26" t="s">
        <v>64</v>
      </c>
      <c r="C13" s="27" t="n">
        <f aca="false">'Profit and loss'!D31-'Profit and loss'!D25</f>
        <v>820</v>
      </c>
      <c r="D13" s="26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2026-10-20T13:32:53Z</dcterms:created>
  <dc:creator>Everything AI Visual Bible</dc:creator>
  <dc:description/>
  <dc:language>en-US</dc:language>
  <cp:lastModifiedBy/>
  <dcterms:modified xsi:type="dcterms:W3CDTF">2026-10-20T13:32:53Z</dcterms:modified>
  <cp:revision>0</cp:revision>
  <dc:subject/>
  <dc:title>Funmi's Kitchen profit and loss, October 2026 (fictional)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