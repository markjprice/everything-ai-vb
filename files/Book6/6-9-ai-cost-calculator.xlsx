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  <sheet name="Ener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<sst xmlns="http://schemas.openxmlformats.org/spreadsheetml/2006/main" count="67" uniqueCount="63">
  <si>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My AI subscriptions and usage charges</t>
  </si>
  <si>
    <t xml:space="preserve">List every AI tool you pay for, including ones billed through a phone app store. Yellow cells are for you. Row 5 is an example: replace it or delete it.</t>
  </si>
  <si>
    <t xml:space="preserve">Tool</t>
  </si>
  <si>
    <t xml:space="preserve">Plan</t>
  </si>
  <si>
    <t xml:space="preserve">Monthly cost (US$)</t>
  </si>
  <si>
    <t xml:space="preserve">How it's billed</t>
  </si>
  <si>
    <t xml:space="preserve">Last used</t>
  </si>
  <si>
    <t xml:space="preserve">Keep or cancel?</t>
  </si>
  <si>
    <t xml:space="preserve">Notes</t>
  </si>
  <si>
    <t xml:space="preserve">Example: an image tool</t>
  </si>
  <si>
    <t xml:space="preserve">Basic</t>
  </si>
  <si>
    <t xml:space="preserve">Apple App Store</t>
  </si>
  <si>
    <t xml:space="preserve">Cancel</t>
  </si>
  <si>
    <t xml:space="preserve">Haven't used it since September</t>
  </si>
  <si>
    <t xml:space="preserve">Total per month</t>
  </si>
  <si>
    <t xml:space="preserve">Total per year</t>
  </si>
  <si>
    <t xml:space="preserve">Saving per year if I cancel the tools marked Cancel</t>
  </si>
  <si>
    <t xml:space="preserve">Tools I haven't used in the last 30 days</t>
  </si>
  <si>
    <t xml:space="preserve">The example row is included in the totals. Delete it, or clear its cost, when you add your own tools.</t>
  </si>
  <si>
    <t xml:space="preserve">My weekly AI energy use, compared with everyday activities</t>
  </si>
  <si>
    <t xml:space="preserve">Enter how many requests you make in a typical week in the yellow cells. The estimates are rough: published figures vary a lot, and most come from the companies themselves. Change any figure in column B if you find a better source.</t>
  </si>
  <si>
    <t xml:space="preserve">Step 1: Energy per request (watt-hours, Wh)</t>
  </si>
  <si>
    <t xml:space="preserve">Kind of request</t>
  </si>
  <si>
    <t xml:space="preserve">Wh each</t>
  </si>
  <si>
    <t xml:space="preserve">Source</t>
  </si>
  <si>
    <t xml:space="preserve">Text request (Google's figure for Gemini)</t>
  </si>
  <si>
    <t xml:space="preserve">Google, 2025: a typical Gemini text request. Quoted in Chapter 6.8.</t>
  </si>
  <si>
    <t xml:space="preserve">Text request (OpenAI's figure for ChatGPT)</t>
  </si>
  <si>
    <t xml:space="preserve">OpenAI's chief executive, 2025: an average ChatGPT request. Quoted in Chapter 6.8.</t>
  </si>
  <si>
    <t xml:space="preserve">Image (one standard picture)</t>
  </si>
  <si>
    <t xml:space="preserve">MIT Technology Review, May 2025: about 2,282 joules for one 1024 x 1024 image from an open model (Stable Diffusion 3 Medium). Commercial tools may differ.</t>
  </si>
  <si>
    <t xml:space="preserve">Short video (about 5 seconds)</t>
  </si>
  <si>
    <t xml:space="preserve">MIT Technology Review, May 2025: about 3.4 million joules for one 5-second clip from an open model (CogVideoX). Commercial tools may differ.</t>
  </si>
  <si>
    <t xml:space="preserve">Text figure used below (choose 0.24 or 0.34, or your own)</t>
  </si>
  <si>
    <t xml:space="preserve">Uses OpenAI's higher figure by default, so the estimate isn't too low. Type =B6 to use Google's figure.</t>
  </si>
  <si>
    <t xml:space="preserve">Step 2: Your typical week</t>
  </si>
  <si>
    <t xml:space="preserve">What you create</t>
  </si>
  <si>
    <t xml:space="preserve">Number per week</t>
  </si>
  <si>
    <t xml:space="preserve">Wh per week</t>
  </si>
  <si>
    <t xml:space="preserve">Text requests (questions, drafts, edits)</t>
  </si>
  <si>
    <t xml:space="preserve">The yellow numbers are examples. Replace them with your own.</t>
  </si>
  <si>
    <t xml:space="preserve">Images</t>
  </si>
  <si>
    <t xml:space="preserve">Short videos (about 5 seconds each)</t>
  </si>
  <si>
    <t xml:space="preserve">Total per week (Wh)</t>
  </si>
  <si>
    <t xml:space="preserve">Step 3: Compare with everyday activities</t>
  </si>
  <si>
    <t xml:space="preserve">Everyday activity</t>
  </si>
  <si>
    <t xml:space="preserve">Power or energy</t>
  </si>
  <si>
    <t xml:space="preserve">Unit</t>
  </si>
  <si>
    <t xml:space="preserve">Your week equals about</t>
  </si>
  <si>
    <t xml:space="preserve">Running a microwave</t>
  </si>
  <si>
    <t xml:space="preserve">watts</t>
  </si>
  <si>
    <t xml:space="preserve">minutes of microwave time. A typical microwave uses about 1,000 watts.</t>
  </si>
  <si>
    <t xml:space="preserve">Boiling a full kettle</t>
  </si>
  <si>
    <t xml:space="preserve">Wh per boil</t>
  </si>
  <si>
    <t xml:space="preserve">kettle boils. Boiling about 1 liter (1 quart) of water uses roughly 100 Wh.</t>
  </si>
  <si>
    <t xml:space="preserve">Watching TV</t>
  </si>
  <si>
    <t xml:space="preserve">hours of TV. Many TVs use about 100 watts. Google compared 0.24 Wh to under 9 seconds of TV.</t>
  </si>
  <si>
    <t xml:space="preserve">Lighting an LED bulb</t>
  </si>
  <si>
    <t xml:space="preserve">hours of one LED bulb. A typical LED bulb uses about 10 watts.</t>
  </si>
  <si>
    <t xml:space="preserve">Charging a phone fully</t>
  </si>
  <si>
    <t xml:space="preserve">Wh per charge</t>
  </si>
  <si>
    <t xml:space="preserve">full phone charges. A phone battery holds roughly 12 to 20 Wh.</t>
  </si>
  <si>
    <t xml:space="preserve">Remember: your individual requests are a small part of your energy use. AI as a whole uses a large and fast-growing amount, which is why it's a public issue. Everyday comparisons are typical figures, not measurements of your devices.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</si>
</sst>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US$&quot;#,##0.00"/>
    <numFmt numFmtId="166" formatCode="mmmm\ d&quot;, &quot;yyyy"/>
    <numFmt numFmtId="167" formatCode="0"/>
    <numFmt numFmtId="168" formatCode="#,##0.00"/>
    <numFmt numFmtId="169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4D"/>
      <name val="Arial"/>
      <family val="0"/>
      <charset val="1"/>
    </font>
    <font>
      <sz val="10"/>
      <color rgb="FF5F6B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F6B73"/>
      <name val="Arial"/>
      <family val="0"/>
      <charset val="1"/>
    </font>
    <font>
      <b val="true"/>
      <sz val="12"/>
      <color rgb="FF1F3A4D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F6B7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7A"/>
        <bgColor rgb="FF008080"/>
      </patternFill>
    </fill>
    <fill>
      <patternFill patternType="solid">
        <fgColor rgb="FFF2F2F2"/>
        <bgColor rgb="FFE3F0EE"/>
      </patternFill>
    </fill>
    <fill>
      <patternFill patternType="solid">
        <fgColor rgb="FFFFF2CC"/>
        <bgColor rgb="FFF2F2F2"/>
      </patternFill>
    </fill>
    <fill>
      <patternFill patternType="solid">
        <fgColor rgb="FFE3F0E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3F0EE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3"/>
      <rgbColor rgb="FF969696"/>
      <rgbColor rgb="FF003366"/>
      <rgbColor rgb="FF2E7D7A"/>
      <rgbColor rgb="FF003300"/>
      <rgbColor rgb="FF333300"/>
      <rgbColor rgb="FF993300"/>
      <rgbColor rgb="FF993366"/>
      <rgbColor rgb="FF555555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10</v>
      </c>
      <c r="D5" s="4" t="s">
        <v>11</v>
      </c>
      <c r="E5" s="6" t="n">
        <v>46279</v>
      </c>
      <c r="F5" s="4" t="s">
        <v>12</v>
      </c>
      <c r="G5" s="4" t="s">
        <v>13</v>
      </c>
    </row>
    <row r="6" customFormat="false" ht="15" hidden="false" customHeight="false" outlineLevel="0" collapsed="false">
      <c r="A6" s="7"/>
      <c r="B6" s="7"/>
      <c r="C6" s="8"/>
      <c r="D6" s="7"/>
      <c r="E6" s="9"/>
      <c r="F6" s="7"/>
      <c r="G6" s="7"/>
    </row>
    <row r="7" customFormat="false" ht="15" hidden="false" customHeight="false" outlineLevel="0" collapsed="false">
      <c r="A7" s="7"/>
      <c r="B7" s="7"/>
      <c r="C7" s="8"/>
      <c r="D7" s="7"/>
      <c r="E7" s="9"/>
      <c r="F7" s="7"/>
      <c r="G7" s="7"/>
    </row>
    <row r="8" customFormat="false" ht="15" hidden="false" customHeight="false" outlineLevel="0" collapsed="false">
      <c r="A8" s="7"/>
      <c r="B8" s="7"/>
      <c r="C8" s="8"/>
      <c r="D8" s="7"/>
      <c r="E8" s="9"/>
      <c r="F8" s="7"/>
      <c r="G8" s="7"/>
    </row>
    <row r="9" customFormat="false" ht="15" hidden="false" customHeight="false" outlineLevel="0" collapsed="false">
      <c r="A9" s="7"/>
      <c r="B9" s="7"/>
      <c r="C9" s="8"/>
      <c r="D9" s="7"/>
      <c r="E9" s="9"/>
      <c r="F9" s="7"/>
      <c r="G9" s="7"/>
    </row>
    <row r="10" customFormat="false" ht="15" hidden="false" customHeight="false" outlineLevel="0" collapsed="false">
      <c r="A10" s="7"/>
      <c r="B10" s="7"/>
      <c r="C10" s="8"/>
      <c r="D10" s="7"/>
      <c r="E10" s="9"/>
      <c r="F10" s="7"/>
      <c r="G10" s="7"/>
    </row>
    <row r="11" customFormat="false" ht="15" hidden="false" customHeight="false" outlineLevel="0" collapsed="false">
      <c r="A11" s="7"/>
      <c r="B11" s="7"/>
      <c r="C11" s="8"/>
      <c r="D11" s="7"/>
      <c r="E11" s="9"/>
      <c r="F11" s="7"/>
      <c r="G11" s="7"/>
    </row>
    <row r="12" customFormat="false" ht="15" hidden="false" customHeight="false" outlineLevel="0" collapsed="false">
      <c r="A12" s="7"/>
      <c r="B12" s="7"/>
      <c r="C12" s="8"/>
      <c r="D12" s="7"/>
      <c r="E12" s="9"/>
      <c r="F12" s="7"/>
      <c r="G12" s="7"/>
    </row>
    <row r="13" customFormat="false" ht="15" hidden="false" customHeight="false" outlineLevel="0" collapsed="false">
      <c r="A13" s="7"/>
      <c r="B13" s="7"/>
      <c r="C13" s="8"/>
      <c r="D13" s="7"/>
      <c r="E13" s="9"/>
      <c r="F13" s="7"/>
      <c r="G13" s="7"/>
    </row>
    <row r="14" customFormat="false" ht="15" hidden="false" customHeight="false" outlineLevel="0" collapsed="false">
      <c r="A14" s="7"/>
      <c r="B14" s="7"/>
      <c r="C14" s="8"/>
      <c r="D14" s="7"/>
      <c r="E14" s="9"/>
      <c r="F14" s="7"/>
      <c r="G14" s="7"/>
    </row>
    <row r="15" customFormat="false" ht="15" hidden="false" customHeight="false" outlineLevel="0" collapsed="false">
      <c r="A15" s="7"/>
      <c r="B15" s="7"/>
      <c r="C15" s="8"/>
      <c r="D15" s="7"/>
      <c r="E15" s="9"/>
      <c r="F15" s="7"/>
      <c r="G15" s="7"/>
    </row>
    <row r="16" customFormat="false" ht="15" hidden="false" customHeight="false" outlineLevel="0" collapsed="false">
      <c r="A16" s="7"/>
      <c r="B16" s="7"/>
      <c r="C16" s="8"/>
      <c r="D16" s="7"/>
      <c r="E16" s="9"/>
      <c r="F16" s="7"/>
      <c r="G16" s="7"/>
    </row>
    <row r="17" customFormat="false" ht="15" hidden="false" customHeight="false" outlineLevel="0" collapsed="false">
      <c r="A17" s="7"/>
      <c r="B17" s="7"/>
      <c r="C17" s="8"/>
      <c r="D17" s="7"/>
      <c r="E17" s="9"/>
      <c r="F17" s="7"/>
      <c r="G17" s="7"/>
    </row>
    <row r="18" customFormat="false" ht="15" hidden="false" customHeight="false" outlineLevel="0" collapsed="false">
      <c r="A18" s="7"/>
      <c r="B18" s="7"/>
      <c r="C18" s="8"/>
      <c r="D18" s="7"/>
      <c r="E18" s="9"/>
      <c r="F18" s="7"/>
      <c r="G18" s="7"/>
    </row>
    <row r="19" customFormat="false" ht="15" hidden="false" customHeight="false" outlineLevel="0" collapsed="false">
      <c r="A19" s="7"/>
      <c r="B19" s="7"/>
      <c r="C19" s="8"/>
      <c r="D19" s="7"/>
      <c r="E19" s="9"/>
      <c r="F19" s="7"/>
      <c r="G19" s="7"/>
    </row>
    <row r="21" customFormat="false" ht="15" hidden="false" customHeight="false" outlineLevel="0" collapsed="false">
      <c r="A21" s="10" t="s">
        <v>14</v>
      </c>
      <c r="B21" s="10"/>
      <c r="C21" s="11" t="n">
        <f aca="false">SUM(C5:C19)</f>
        <v>10</v>
      </c>
    </row>
    <row r="22" customFormat="false" ht="15" hidden="false" customHeight="false" outlineLevel="0" collapsed="false">
      <c r="A22" s="10" t="s">
        <v>15</v>
      </c>
      <c r="B22" s="10"/>
      <c r="C22" s="11" t="n">
        <f aca="false">C21*12</f>
        <v>120</v>
      </c>
    </row>
    <row r="23" customFormat="false" ht="15" hidden="false" customHeight="false" outlineLevel="0" collapsed="false">
      <c r="A23" s="10" t="s">
        <v>16</v>
      </c>
      <c r="B23" s="10"/>
      <c r="C23" s="11" t="n">
        <f aca="false">SUMIF(F5:F19,"Cancel",C5:C19)*12</f>
        <v>120</v>
      </c>
    </row>
    <row r="24" customFormat="false" ht="15" hidden="false" customHeight="false" outlineLevel="0" collapsed="false">
      <c r="A24" s="10" t="s">
        <v>17</v>
      </c>
      <c r="B24" s="10"/>
      <c r="C24" s="12" t="n">
        <f aca="true">COUNTIFS(E5:E19,"&lt;"&amp;(TODAY()-30),E5:E19,"&lt;&gt;")</f>
        <v>1</v>
      </c>
    </row>
    <row r="26" customFormat="false" ht="15" hidden="false" customHeight="false" outlineLevel="0" collapsed="false">
      <c r="A26" s="13" t="s">
        <v>18</v>
      </c>
    </row>
  </sheetData>
  <mergeCells count="5">
    <mergeCell ref="A2:G2"/>
    <mergeCell ref="A21:B21"/>
    <mergeCell ref="A22:B22"/>
    <mergeCell ref="A23:B23"/>
    <mergeCell ref="A24:B24"/>
  </mergeCells>
  <dataValidations count="2">
    <dataValidation allowBlank="true" errorStyle="stop" operator="between" showDropDown="false" showErrorMessage="false" showInputMessage="false" sqref="F5:F19" type="list">
      <formula1>"Keep,Cancel,Not sure"</formula1>
      <formula2>0</formula2>
    </dataValidation>
    <dataValidation allowBlank="true" errorStyle="stop" operator="between" showDropDown="false" showErrorMessage="false" showInputMessage="false" sqref="D5:D19" type="list">
      <formula1>"Website,Apple App Store,Google Play,Work account,Other"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64"/>
  </cols>
  <sheetData>
    <row r="1" customFormat="false" ht="19.7" hidden="false" customHeight="false" outlineLevel="0" collapsed="false">
      <c r="A1" s="1" t="s">
        <v>19</v>
      </c>
    </row>
    <row r="2" customFormat="false" ht="30" hidden="false" customHeight="true" outlineLevel="0" collapsed="false">
      <c r="A2" s="14" t="s">
        <v>20</v>
      </c>
      <c r="B2" s="14"/>
      <c r="C2" s="14"/>
      <c r="D2" s="14"/>
      <c r="E2" s="14"/>
    </row>
    <row r="4" customFormat="false" ht="15" hidden="false" customHeight="false" outlineLevel="0" collapsed="false">
      <c r="A4" s="15" t="s">
        <v>21</v>
      </c>
    </row>
    <row r="5" customFormat="false" ht="15" hidden="false" customHeight="false" outlineLevel="0" collapsed="false">
      <c r="A5" s="3" t="s">
        <v>22</v>
      </c>
      <c r="B5" s="3" t="s">
        <v>23</v>
      </c>
      <c r="C5" s="3"/>
      <c r="D5" s="3"/>
      <c r="E5" s="3" t="s">
        <v>24</v>
      </c>
    </row>
    <row r="6" customFormat="false" ht="25.5" hidden="false" customHeight="true" outlineLevel="0" collapsed="false">
      <c r="A6" s="16" t="s">
        <v>25</v>
      </c>
      <c r="B6" s="17" t="n">
        <v>0.24</v>
      </c>
      <c r="E6" s="18" t="s">
        <v>26</v>
      </c>
    </row>
    <row r="7" customFormat="false" ht="25.5" hidden="false" customHeight="true" outlineLevel="0" collapsed="false">
      <c r="A7" s="16" t="s">
        <v>27</v>
      </c>
      <c r="B7" s="17" t="n">
        <v>0.34</v>
      </c>
      <c r="E7" s="18" t="s">
        <v>28</v>
      </c>
    </row>
    <row r="8" customFormat="false" ht="25.5" hidden="false" customHeight="true" outlineLevel="0" collapsed="false">
      <c r="A8" s="16" t="s">
        <v>29</v>
      </c>
      <c r="B8" s="17" t="n">
        <v>0.63</v>
      </c>
      <c r="E8" s="18" t="s">
        <v>30</v>
      </c>
    </row>
    <row r="9" customFormat="false" ht="25.5" hidden="false" customHeight="true" outlineLevel="0" collapsed="false">
      <c r="A9" s="16" t="s">
        <v>31</v>
      </c>
      <c r="B9" s="17" t="n">
        <v>944</v>
      </c>
      <c r="E9" s="18" t="s">
        <v>32</v>
      </c>
    </row>
    <row r="10" customFormat="false" ht="15" hidden="false" customHeight="false" outlineLevel="0" collapsed="false">
      <c r="A10" s="19" t="s">
        <v>33</v>
      </c>
      <c r="B10" s="20" t="n">
        <f aca="false">B7</f>
        <v>0.34</v>
      </c>
      <c r="E10" s="21" t="s">
        <v>34</v>
      </c>
    </row>
    <row r="12" customFormat="false" ht="15" hidden="false" customHeight="false" outlineLevel="0" collapsed="false">
      <c r="A12" s="15" t="s">
        <v>35</v>
      </c>
    </row>
    <row r="13" customFormat="false" ht="15" hidden="false" customHeight="false" outlineLevel="0" collapsed="false">
      <c r="A13" s="3" t="s">
        <v>36</v>
      </c>
      <c r="B13" s="3" t="s">
        <v>37</v>
      </c>
      <c r="C13" s="3" t="s">
        <v>23</v>
      </c>
      <c r="D13" s="3" t="s">
        <v>38</v>
      </c>
      <c r="E13" s="3"/>
    </row>
    <row r="14" customFormat="false" ht="15" hidden="false" customHeight="false" outlineLevel="0" collapsed="false">
      <c r="A14" s="16" t="s">
        <v>39</v>
      </c>
      <c r="B14" s="22" t="n">
        <v>100</v>
      </c>
      <c r="C14" s="23" t="n">
        <f aca="false">B10</f>
        <v>0.34</v>
      </c>
      <c r="D14" s="24" t="n">
        <f aca="false">B14*C14</f>
        <v>34</v>
      </c>
      <c r="E14" s="21" t="s">
        <v>40</v>
      </c>
    </row>
    <row r="15" customFormat="false" ht="15" hidden="false" customHeight="false" outlineLevel="0" collapsed="false">
      <c r="A15" s="16" t="s">
        <v>41</v>
      </c>
      <c r="B15" s="22" t="n">
        <v>5</v>
      </c>
      <c r="C15" s="23" t="n">
        <f aca="false">B8</f>
        <v>0.63</v>
      </c>
      <c r="D15" s="24" t="n">
        <f aca="false">B15*C15</f>
        <v>3.15</v>
      </c>
    </row>
    <row r="16" customFormat="false" ht="15" hidden="false" customHeight="false" outlineLevel="0" collapsed="false">
      <c r="A16" s="16" t="s">
        <v>42</v>
      </c>
      <c r="B16" s="22" t="n">
        <v>0</v>
      </c>
      <c r="C16" s="23" t="n">
        <f aca="false">B9</f>
        <v>944</v>
      </c>
      <c r="D16" s="24" t="n">
        <f aca="false">B16*C16</f>
        <v>0</v>
      </c>
    </row>
    <row r="17" customFormat="false" ht="15" hidden="false" customHeight="false" outlineLevel="0" collapsed="false">
      <c r="A17" s="19" t="s">
        <v>43</v>
      </c>
      <c r="D17" s="25" t="n">
        <f aca="false">SUM(D14:D16)</f>
        <v>37.15</v>
      </c>
    </row>
    <row r="19" customFormat="false" ht="15" hidden="false" customHeight="false" outlineLevel="0" collapsed="false">
      <c r="A19" s="15" t="s">
        <v>44</v>
      </c>
    </row>
    <row r="20" customFormat="false" ht="23.85" hidden="false" customHeight="false" outlineLevel="0" collapsed="false">
      <c r="A20" s="3" t="s">
        <v>45</v>
      </c>
      <c r="B20" s="3" t="s">
        <v>46</v>
      </c>
      <c r="C20" s="3" t="s">
        <v>47</v>
      </c>
      <c r="D20" s="3" t="s">
        <v>48</v>
      </c>
      <c r="E20" s="3" t="s">
        <v>8</v>
      </c>
    </row>
    <row r="21" customFormat="false" ht="25.5" hidden="false" customHeight="true" outlineLevel="0" collapsed="false">
      <c r="A21" s="16" t="s">
        <v>49</v>
      </c>
      <c r="B21" s="26" t="n">
        <v>1000</v>
      </c>
      <c r="C21" s="27" t="s">
        <v>50</v>
      </c>
      <c r="D21" s="28" t="n">
        <f aca="false">D17/B21*60</f>
        <v>2.229</v>
      </c>
      <c r="E21" s="29" t="s">
        <v>51</v>
      </c>
    </row>
    <row r="22" customFormat="false" ht="25.5" hidden="false" customHeight="true" outlineLevel="0" collapsed="false">
      <c r="A22" s="16" t="s">
        <v>52</v>
      </c>
      <c r="B22" s="26" t="n">
        <v>100</v>
      </c>
      <c r="C22" s="27" t="s">
        <v>53</v>
      </c>
      <c r="D22" s="28" t="n">
        <f aca="false">D17/B22</f>
        <v>0.3715</v>
      </c>
      <c r="E22" s="29" t="s">
        <v>54</v>
      </c>
    </row>
    <row r="23" customFormat="false" ht="25.5" hidden="false" customHeight="true" outlineLevel="0" collapsed="false">
      <c r="A23" s="16" t="s">
        <v>55</v>
      </c>
      <c r="B23" s="26" t="n">
        <v>100</v>
      </c>
      <c r="C23" s="27" t="s">
        <v>50</v>
      </c>
      <c r="D23" s="28" t="n">
        <f aca="false">D17/B23</f>
        <v>0.3715</v>
      </c>
      <c r="E23" s="29" t="s">
        <v>56</v>
      </c>
    </row>
    <row r="24" customFormat="false" ht="25.5" hidden="false" customHeight="true" outlineLevel="0" collapsed="false">
      <c r="A24" s="16" t="s">
        <v>57</v>
      </c>
      <c r="B24" s="26" t="n">
        <v>10</v>
      </c>
      <c r="C24" s="27" t="s">
        <v>50</v>
      </c>
      <c r="D24" s="28" t="n">
        <f aca="false">D17/B24</f>
        <v>3.715</v>
      </c>
      <c r="E24" s="29" t="s">
        <v>58</v>
      </c>
    </row>
    <row r="25" customFormat="false" ht="25.5" hidden="false" customHeight="true" outlineLevel="0" collapsed="false">
      <c r="A25" s="16" t="s">
        <v>59</v>
      </c>
      <c r="B25" s="26" t="n">
        <v>15</v>
      </c>
      <c r="C25" s="27" t="s">
        <v>60</v>
      </c>
      <c r="D25" s="28" t="n">
        <f aca="false">D17/B25</f>
        <v>2.47666666666667</v>
      </c>
      <c r="E25" s="29" t="s">
        <v>61</v>
      </c>
    </row>
    <row r="27" customFormat="false" ht="30" hidden="false" customHeight="true" outlineLevel="0" collapsed="false">
      <c r="A27" s="30" t="s">
        <v>62</v>
      </c>
      <c r="B27" s="30"/>
      <c r="C27" s="30"/>
      <c r="D27" s="30"/>
      <c r="E27" s="30"/>
    </row>
  </sheetData>
  <mergeCells count="2">
    <mergeCell ref="A2:E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2026-10-20T13:44:37Z</dcterms:created>
  <dc:creator>Everything AI Visual Bible</dc:creator>
  <dc:description/>
  <dc:language>en-US</dc:language>
  <cp:lastModifiedBy/>
  <dcterms:modified xsi:type="dcterms:W3CDTF">2026-10-20T13:44:37Z</dcterms:modified>
  <cp:revision>0</cp:revision>
  <dc:subject/>
  <dc:title>AI cost and energy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